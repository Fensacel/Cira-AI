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 Konser" state="visible" r:id="rId4"/>
    <sheet sheetId="2" name="Pendapatan" state="visible" r:id="rId5"/>
    <sheet sheetId="3" name="Catatan &amp; Sumber" state="visible" r:id="rId6"/>
  </sheets>
  <calcPr calcId="171027"/>
</workbook>
</file>

<file path=xl/sharedStrings.xml><?xml version="1.0" encoding="utf-8"?>
<sst xmlns="http://schemas.openxmlformats.org/spreadsheetml/2006/main" count="140" uniqueCount="93">
  <si>
    <t>No</t>
  </si>
  <si>
    <t>Keterangan</t>
  </si>
  <si>
    <t>Volume</t>
  </si>
  <si>
    <t>Satuan</t>
  </si>
  <si>
    <t>Freq</t>
  </si>
  <si>
    <t>Satuan Freq</t>
  </si>
  <si>
    <t>Harga Satuan (Rp)</t>
  </si>
  <si>
    <t>Jumlah (Rp)</t>
  </si>
  <si>
    <t>1</t>
  </si>
  <si>
    <t>PRA PRODUKSI &amp; PRA EVENT</t>
  </si>
  <si>
    <t>1.1</t>
  </si>
  <si>
    <t>Honorarium team</t>
  </si>
  <si>
    <t>org</t>
  </si>
  <si>
    <t>bln</t>
  </si>
  <si>
    <t>1.2</t>
  </si>
  <si>
    <t>ATK &amp; rapat</t>
  </si>
  <si>
    <t>pkt</t>
  </si>
  <si>
    <t>kali</t>
  </si>
  <si>
    <t>1.3</t>
  </si>
  <si>
    <t>Proposal &amp; sponsor deck</t>
  </si>
  <si>
    <t>1.4</t>
  </si>
  <si>
    <t>Video promo</t>
  </si>
  <si>
    <t>1.5</t>
  </si>
  <si>
    <t>Sosial media</t>
  </si>
  <si>
    <t>1.6</t>
  </si>
  <si>
    <t>Cetak gelang tiket</t>
  </si>
  <si>
    <t>pcs</t>
  </si>
  <si>
    <t/>
  </si>
  <si>
    <t>Subtotal 1</t>
  </si>
  <si>
    <t>2</t>
  </si>
  <si>
    <t>PRODUKSI EVENT</t>
  </si>
  <si>
    <t>2.1</t>
  </si>
  <si>
    <t>Sewa venue</t>
  </si>
  <si>
    <t>area</t>
  </si>
  <si>
    <t>hari</t>
  </si>
  <si>
    <t>2.2</t>
  </si>
  <si>
    <t>Keamanan</t>
  </si>
  <si>
    <t>2.3</t>
  </si>
  <si>
    <t>Izin keramaian</t>
  </si>
  <si>
    <t>2.4</t>
  </si>
  <si>
    <t>Ambulan &amp; kesehatan</t>
  </si>
  <si>
    <t>2.5</t>
  </si>
  <si>
    <t>Fee Tulus</t>
  </si>
  <si>
    <t>2.6</t>
  </si>
  <si>
    <t>Fee Nadin Amizah</t>
  </si>
  <si>
    <t>2.7</t>
  </si>
  <si>
    <t>Fee Bernadya</t>
  </si>
  <si>
    <t>2.8</t>
  </si>
  <si>
    <t>Rider &amp; hospitality</t>
  </si>
  <si>
    <t>2.9</t>
  </si>
  <si>
    <t>Sound system &amp; lighting</t>
  </si>
  <si>
    <t>2.10</t>
  </si>
  <si>
    <t>Panggung &amp; rigging</t>
  </si>
  <si>
    <t>2.11</t>
  </si>
  <si>
    <t>LED screen</t>
  </si>
  <si>
    <t>unit</t>
  </si>
  <si>
    <t>2.12</t>
  </si>
  <si>
    <t>Backline</t>
  </si>
  <si>
    <t>2.13</t>
  </si>
  <si>
    <t>Transport &amp; akomodasi artis + crew</t>
  </si>
  <si>
    <t>2.14</t>
  </si>
  <si>
    <t>Konsumsi crew</t>
  </si>
  <si>
    <t>2.15</t>
  </si>
  <si>
    <t>Dokumentasi foto &amp; video</t>
  </si>
  <si>
    <t>2.16</t>
  </si>
  <si>
    <t>Platform tiket &amp; payment</t>
  </si>
  <si>
    <t>Subtotal 2</t>
  </si>
  <si>
    <t>3</t>
  </si>
  <si>
    <t>PASCA PRODUKSI &amp; EVENT</t>
  </si>
  <si>
    <t>3.1</t>
  </si>
  <si>
    <t>Laporan &amp; dokumentasi akhir</t>
  </si>
  <si>
    <t>3.2</t>
  </si>
  <si>
    <t>Pembongkaran &amp; kebersihan</t>
  </si>
  <si>
    <t>Subtotal 3</t>
  </si>
  <si>
    <t>Subtotal A (1+2+3)</t>
  </si>
  <si>
    <t>Kontingensi 10%</t>
  </si>
  <si>
    <t>TOTAL BIAYA</t>
  </si>
  <si>
    <t>Item</t>
  </si>
  <si>
    <t>Harga Tiket (Rp)</t>
  </si>
  <si>
    <t>Tiket Reguler</t>
  </si>
  <si>
    <t>Tiket VIP</t>
  </si>
  <si>
    <t>Total pendapatan tiket</t>
  </si>
  <si>
    <t>Total biaya (RAB)</t>
  </si>
  <si>
    <t>Surplus</t>
  </si>
  <si>
    <t>Rata-rata harga tiket</t>
  </si>
  <si>
    <t>Break-even (tiket)</t>
  </si>
  <si>
    <t>Catatan</t>
  </si>
  <si>
    <t>Semua nominal = placeholder, bukan tarif resmi. Ganti sesuai nego.</t>
  </si>
  <si>
    <t>Format kolom mengikuti Contoh RAB Konser Musik (pdf-contoh-rab-konser-musik_compress.pdf). Subtotal tiap pos dan total dihitung rumus.</t>
  </si>
  <si>
    <t>Bagian Biaya Konsultasi &amp; Biaya Pelaporan dari PDF tidak dimasukkan.</t>
  </si>
  <si>
    <t>Belum termasuk pajak hiburan (Perda daerah) [tidak diverifikasi], biaya payment gateway, PPN tiket [tidak diverifikasi].</t>
  </si>
  <si>
    <t>PPh 23 jasa fee artis: 2% dengan NPWP, 4% tanpa NPWP [PMK 141/PMK.03/2015] [tidak diverifikasi].</t>
  </si>
  <si>
    <t>Sumber format: Contoh RAB Konser Musik (pdf-contoh-rab-konser-musik_compress.pdf). Struktur tabel: [Logika Internal / Modul Kalkulator RAB].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</si>
</sst>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-&quot;Rp&quot; 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3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40" style="1" customWidth="1"/>
    <col min="3" max="3" width="10" style="2" customWidth="1"/>
    <col min="4" max="4" width="10" style="1" customWidth="1"/>
    <col min="5" max="5" width="8" style="2" customWidth="1"/>
    <col min="6" max="6" width="12" style="1" customWidth="1"/>
    <col min="7" max="8" width="20" style="3" customWidth="1"/>
  </cols>
  <sheetData>
    <row r="1" spans="1:8" s="4" customFormat="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7" t="s">
        <v>7</v>
      </c>
    </row>
    <row r="2" spans="1:8" x14ac:dyDescent="0.25">
      <c r="A2" s="1" t="s">
        <v>8</v>
      </c>
      <c r="B2" s="1" t="s">
        <v>9</v>
      </c>
      <c r="C2" s="2"/>
      <c r="D2" s="1"/>
      <c r="E2" s="2"/>
      <c r="F2" s="1"/>
      <c r="G2" s="3"/>
      <c r="H2" s="3"/>
    </row>
    <row r="3" spans="1:8" x14ac:dyDescent="0.25">
      <c r="A3" s="1" t="s">
        <v>10</v>
      </c>
      <c r="B3" s="1" t="s">
        <v>11</v>
      </c>
      <c r="C3" s="2">
        <v>3</v>
      </c>
      <c r="D3" s="1" t="s">
        <v>12</v>
      </c>
      <c r="E3" s="2">
        <v>2</v>
      </c>
      <c r="F3" s="1" t="s">
        <v>13</v>
      </c>
      <c r="G3" s="3">
        <v>5000000</v>
      </c>
      <c r="H3" s="3">
        <f>C3*E3*G3</f>
      </c>
    </row>
    <row r="4" spans="1:8" x14ac:dyDescent="0.25">
      <c r="A4" s="1" t="s">
        <v>14</v>
      </c>
      <c r="B4" s="1" t="s">
        <v>15</v>
      </c>
      <c r="C4" s="2">
        <v>1</v>
      </c>
      <c r="D4" s="1" t="s">
        <v>16</v>
      </c>
      <c r="E4" s="2">
        <v>6</v>
      </c>
      <c r="F4" s="1" t="s">
        <v>17</v>
      </c>
      <c r="G4" s="3">
        <v>1000000</v>
      </c>
      <c r="H4" s="3">
        <f>C4*E4*G4</f>
      </c>
    </row>
    <row r="5" spans="1:8" x14ac:dyDescent="0.25">
      <c r="A5" s="1" t="s">
        <v>18</v>
      </c>
      <c r="B5" s="1" t="s">
        <v>19</v>
      </c>
      <c r="C5" s="2">
        <v>10</v>
      </c>
      <c r="D5" s="1" t="s">
        <v>16</v>
      </c>
      <c r="E5" s="2">
        <v>1</v>
      </c>
      <c r="F5" s="1" t="s">
        <v>17</v>
      </c>
      <c r="G5" s="3">
        <v>500000</v>
      </c>
      <c r="H5" s="3">
        <f>C5*E5*G5</f>
      </c>
    </row>
    <row r="6" spans="1:8" x14ac:dyDescent="0.25">
      <c r="A6" s="1" t="s">
        <v>20</v>
      </c>
      <c r="B6" s="1" t="s">
        <v>21</v>
      </c>
      <c r="C6" s="2">
        <v>1</v>
      </c>
      <c r="D6" s="1" t="s">
        <v>16</v>
      </c>
      <c r="E6" s="2">
        <v>1</v>
      </c>
      <c r="F6" s="1" t="s">
        <v>17</v>
      </c>
      <c r="G6" s="3">
        <v>5000000</v>
      </c>
      <c r="H6" s="3">
        <f>C6*E6*G6</f>
      </c>
    </row>
    <row r="7" spans="1:8" x14ac:dyDescent="0.25">
      <c r="A7" s="1" t="s">
        <v>22</v>
      </c>
      <c r="B7" s="1" t="s">
        <v>23</v>
      </c>
      <c r="C7" s="2">
        <v>1</v>
      </c>
      <c r="D7" s="1" t="s">
        <v>16</v>
      </c>
      <c r="E7" s="2">
        <v>2</v>
      </c>
      <c r="F7" s="1" t="s">
        <v>13</v>
      </c>
      <c r="G7" s="3">
        <v>5000000</v>
      </c>
      <c r="H7" s="3">
        <f>C7*E7*G7</f>
      </c>
    </row>
    <row r="8" spans="1:8" x14ac:dyDescent="0.25">
      <c r="A8" s="1" t="s">
        <v>24</v>
      </c>
      <c r="B8" s="1" t="s">
        <v>25</v>
      </c>
      <c r="C8" s="2">
        <v>10000</v>
      </c>
      <c r="D8" s="1" t="s">
        <v>26</v>
      </c>
      <c r="E8" s="2">
        <v>1</v>
      </c>
      <c r="F8" s="1" t="s">
        <v>17</v>
      </c>
      <c r="G8" s="3">
        <v>1500</v>
      </c>
      <c r="H8" s="3">
        <f>C8*E8*G8</f>
      </c>
    </row>
    <row r="9" spans="1:8" x14ac:dyDescent="0.25">
      <c r="A9" s="1" t="s">
        <v>27</v>
      </c>
      <c r="B9" s="1" t="s">
        <v>28</v>
      </c>
      <c r="C9" s="2"/>
      <c r="D9" s="1"/>
      <c r="E9" s="2"/>
      <c r="F9" s="1"/>
      <c r="G9" s="3"/>
      <c r="H9" s="3">
        <f>SUM(H3:H8)</f>
      </c>
    </row>
    <row r="10" spans="1:8" x14ac:dyDescent="0.25">
      <c r="A10" s="1" t="s">
        <v>29</v>
      </c>
      <c r="B10" s="1" t="s">
        <v>30</v>
      </c>
      <c r="C10" s="2"/>
      <c r="D10" s="1"/>
      <c r="E10" s="2"/>
      <c r="F10" s="1"/>
      <c r="G10" s="3"/>
      <c r="H10" s="3"/>
    </row>
    <row r="11" spans="1:8" x14ac:dyDescent="0.25">
      <c r="A11" s="1" t="s">
        <v>31</v>
      </c>
      <c r="B11" s="1" t="s">
        <v>32</v>
      </c>
      <c r="C11" s="2">
        <v>1</v>
      </c>
      <c r="D11" s="1" t="s">
        <v>33</v>
      </c>
      <c r="E11" s="2">
        <v>1</v>
      </c>
      <c r="F11" s="1" t="s">
        <v>34</v>
      </c>
      <c r="G11" s="3">
        <v>75000000</v>
      </c>
      <c r="H11" s="3">
        <f>C11*E11*G11</f>
      </c>
    </row>
    <row r="12" spans="1:8" x14ac:dyDescent="0.25">
      <c r="A12" s="1" t="s">
        <v>35</v>
      </c>
      <c r="B12" s="1" t="s">
        <v>36</v>
      </c>
      <c r="C12" s="2">
        <v>1</v>
      </c>
      <c r="D12" s="1" t="s">
        <v>33</v>
      </c>
      <c r="E12" s="2">
        <v>1</v>
      </c>
      <c r="F12" s="1" t="s">
        <v>34</v>
      </c>
      <c r="G12" s="3">
        <v>10000000</v>
      </c>
      <c r="H12" s="3">
        <f>C12*E12*G12</f>
      </c>
    </row>
    <row r="13" spans="1:8" x14ac:dyDescent="0.25">
      <c r="A13" s="1" t="s">
        <v>37</v>
      </c>
      <c r="B13" s="1" t="s">
        <v>38</v>
      </c>
      <c r="C13" s="2">
        <v>1</v>
      </c>
      <c r="D13" s="1" t="s">
        <v>16</v>
      </c>
      <c r="E13" s="2">
        <v>1</v>
      </c>
      <c r="F13" s="1" t="s">
        <v>17</v>
      </c>
      <c r="G13" s="3">
        <v>5000000</v>
      </c>
      <c r="H13" s="3">
        <f>C13*E13*G13</f>
      </c>
    </row>
    <row r="14" spans="1:8" x14ac:dyDescent="0.25">
      <c r="A14" s="1" t="s">
        <v>39</v>
      </c>
      <c r="B14" s="1" t="s">
        <v>40</v>
      </c>
      <c r="C14" s="2">
        <v>1</v>
      </c>
      <c r="D14" s="1" t="s">
        <v>33</v>
      </c>
      <c r="E14" s="2">
        <v>1</v>
      </c>
      <c r="F14" s="1" t="s">
        <v>34</v>
      </c>
      <c r="G14" s="3">
        <v>5000000</v>
      </c>
      <c r="H14" s="3">
        <f>C14*E14*G14</f>
      </c>
    </row>
    <row r="15" spans="1:8" x14ac:dyDescent="0.25">
      <c r="A15" s="1" t="s">
        <v>41</v>
      </c>
      <c r="B15" s="1" t="s">
        <v>42</v>
      </c>
      <c r="C15" s="2">
        <v>1</v>
      </c>
      <c r="D15" s="1" t="s">
        <v>12</v>
      </c>
      <c r="E15" s="2">
        <v>1</v>
      </c>
      <c r="F15" s="1" t="s">
        <v>17</v>
      </c>
      <c r="G15" s="3">
        <v>300000000</v>
      </c>
      <c r="H15" s="3">
        <f>C15*E15*G15</f>
      </c>
    </row>
    <row r="16" spans="1:8" x14ac:dyDescent="0.25">
      <c r="A16" s="1" t="s">
        <v>43</v>
      </c>
      <c r="B16" s="1" t="s">
        <v>44</v>
      </c>
      <c r="C16" s="2">
        <v>1</v>
      </c>
      <c r="D16" s="1" t="s">
        <v>12</v>
      </c>
      <c r="E16" s="2">
        <v>1</v>
      </c>
      <c r="F16" s="1" t="s">
        <v>17</v>
      </c>
      <c r="G16" s="3">
        <v>250000000</v>
      </c>
      <c r="H16" s="3">
        <f>C16*E16*G16</f>
      </c>
    </row>
    <row r="17" spans="1:8" x14ac:dyDescent="0.25">
      <c r="A17" s="1" t="s">
        <v>45</v>
      </c>
      <c r="B17" s="1" t="s">
        <v>46</v>
      </c>
      <c r="C17" s="2">
        <v>1</v>
      </c>
      <c r="D17" s="1" t="s">
        <v>12</v>
      </c>
      <c r="E17" s="2">
        <v>1</v>
      </c>
      <c r="F17" s="1" t="s">
        <v>17</v>
      </c>
      <c r="G17" s="3">
        <v>200000000</v>
      </c>
      <c r="H17" s="3">
        <f>C17*E17*G17</f>
      </c>
    </row>
    <row r="18" spans="1:8" x14ac:dyDescent="0.25">
      <c r="A18" s="1" t="s">
        <v>47</v>
      </c>
      <c r="B18" s="1" t="s">
        <v>48</v>
      </c>
      <c r="C18" s="2">
        <v>3</v>
      </c>
      <c r="D18" s="1" t="s">
        <v>12</v>
      </c>
      <c r="E18" s="2">
        <v>1</v>
      </c>
      <c r="F18" s="1" t="s">
        <v>17</v>
      </c>
      <c r="G18" s="3">
        <v>10000000</v>
      </c>
      <c r="H18" s="3">
        <f>C18*E18*G18</f>
      </c>
    </row>
    <row r="19" spans="1:8" x14ac:dyDescent="0.25">
      <c r="A19" s="1" t="s">
        <v>49</v>
      </c>
      <c r="B19" s="1" t="s">
        <v>50</v>
      </c>
      <c r="C19" s="2">
        <v>1</v>
      </c>
      <c r="D19" s="1" t="s">
        <v>16</v>
      </c>
      <c r="E19" s="2">
        <v>1</v>
      </c>
      <c r="F19" s="1" t="s">
        <v>34</v>
      </c>
      <c r="G19" s="3">
        <v>60000000</v>
      </c>
      <c r="H19" s="3">
        <f>C19*E19*G19</f>
      </c>
    </row>
    <row r="20" spans="1:8" x14ac:dyDescent="0.25">
      <c r="A20" s="1" t="s">
        <v>51</v>
      </c>
      <c r="B20" s="1" t="s">
        <v>52</v>
      </c>
      <c r="C20" s="2">
        <v>1</v>
      </c>
      <c r="D20" s="1" t="s">
        <v>16</v>
      </c>
      <c r="E20" s="2">
        <v>1</v>
      </c>
      <c r="F20" s="1" t="s">
        <v>34</v>
      </c>
      <c r="G20" s="3">
        <v>50000000</v>
      </c>
      <c r="H20" s="3">
        <f>C20*E20*G20</f>
      </c>
    </row>
    <row r="21" spans="1:8" x14ac:dyDescent="0.25">
      <c r="A21" s="1" t="s">
        <v>53</v>
      </c>
      <c r="B21" s="1" t="s">
        <v>54</v>
      </c>
      <c r="C21" s="2">
        <v>1</v>
      </c>
      <c r="D21" s="1" t="s">
        <v>55</v>
      </c>
      <c r="E21" s="2">
        <v>1</v>
      </c>
      <c r="F21" s="1" t="s">
        <v>34</v>
      </c>
      <c r="G21" s="3">
        <v>40000000</v>
      </c>
      <c r="H21" s="3">
        <f>C21*E21*G21</f>
      </c>
    </row>
    <row r="22" spans="1:8" x14ac:dyDescent="0.25">
      <c r="A22" s="1" t="s">
        <v>56</v>
      </c>
      <c r="B22" s="1" t="s">
        <v>57</v>
      </c>
      <c r="C22" s="2">
        <v>1</v>
      </c>
      <c r="D22" s="1" t="s">
        <v>16</v>
      </c>
      <c r="E22" s="2">
        <v>1</v>
      </c>
      <c r="F22" s="1" t="s">
        <v>34</v>
      </c>
      <c r="G22" s="3">
        <v>25000000</v>
      </c>
      <c r="H22" s="3">
        <f>C22*E22*G22</f>
      </c>
    </row>
    <row r="23" spans="1:8" x14ac:dyDescent="0.25">
      <c r="A23" s="1" t="s">
        <v>58</v>
      </c>
      <c r="B23" s="1" t="s">
        <v>59</v>
      </c>
      <c r="C23" s="2">
        <v>1</v>
      </c>
      <c r="D23" s="1" t="s">
        <v>16</v>
      </c>
      <c r="E23" s="2">
        <v>1</v>
      </c>
      <c r="F23" s="1" t="s">
        <v>17</v>
      </c>
      <c r="G23" s="3">
        <v>40000000</v>
      </c>
      <c r="H23" s="3">
        <f>C23*E23*G23</f>
      </c>
    </row>
    <row r="24" spans="1:8" x14ac:dyDescent="0.25">
      <c r="A24" s="1" t="s">
        <v>60</v>
      </c>
      <c r="B24" s="1" t="s">
        <v>61</v>
      </c>
      <c r="C24" s="2">
        <v>100</v>
      </c>
      <c r="D24" s="1" t="s">
        <v>12</v>
      </c>
      <c r="E24" s="2">
        <v>1</v>
      </c>
      <c r="F24" s="1" t="s">
        <v>17</v>
      </c>
      <c r="G24" s="3">
        <v>150000</v>
      </c>
      <c r="H24" s="3">
        <f>C24*E24*G24</f>
      </c>
    </row>
    <row r="25" spans="1:8" x14ac:dyDescent="0.25">
      <c r="A25" s="1" t="s">
        <v>62</v>
      </c>
      <c r="B25" s="1" t="s">
        <v>63</v>
      </c>
      <c r="C25" s="2">
        <v>1</v>
      </c>
      <c r="D25" s="1" t="s">
        <v>16</v>
      </c>
      <c r="E25" s="2">
        <v>1</v>
      </c>
      <c r="F25" s="1" t="s">
        <v>17</v>
      </c>
      <c r="G25" s="3">
        <v>15000000</v>
      </c>
      <c r="H25" s="3">
        <f>C25*E25*G25</f>
      </c>
    </row>
    <row r="26" spans="1:8" x14ac:dyDescent="0.25">
      <c r="A26" s="1" t="s">
        <v>64</v>
      </c>
      <c r="B26" s="1" t="s">
        <v>65</v>
      </c>
      <c r="C26" s="2">
        <v>1</v>
      </c>
      <c r="D26" s="1" t="s">
        <v>16</v>
      </c>
      <c r="E26" s="2">
        <v>1</v>
      </c>
      <c r="F26" s="1" t="s">
        <v>17</v>
      </c>
      <c r="G26" s="3">
        <v>25000000</v>
      </c>
      <c r="H26" s="3">
        <f>C26*E26*G26</f>
      </c>
    </row>
    <row r="27" spans="1:8" x14ac:dyDescent="0.25">
      <c r="A27" s="1" t="s">
        <v>27</v>
      </c>
      <c r="B27" s="1" t="s">
        <v>66</v>
      </c>
      <c r="C27" s="2"/>
      <c r="D27" s="1"/>
      <c r="E27" s="2"/>
      <c r="F27" s="1"/>
      <c r="G27" s="3"/>
      <c r="H27" s="3">
        <f>SUM(H11:H26)</f>
      </c>
    </row>
    <row r="28" spans="1:8" x14ac:dyDescent="0.25">
      <c r="A28" s="1" t="s">
        <v>67</v>
      </c>
      <c r="B28" s="1" t="s">
        <v>68</v>
      </c>
      <c r="C28" s="2"/>
      <c r="D28" s="1"/>
      <c r="E28" s="2"/>
      <c r="F28" s="1"/>
      <c r="G28" s="3"/>
      <c r="H28" s="3"/>
    </row>
    <row r="29" spans="1:8" x14ac:dyDescent="0.25">
      <c r="A29" s="1" t="s">
        <v>69</v>
      </c>
      <c r="B29" s="1" t="s">
        <v>70</v>
      </c>
      <c r="C29" s="2">
        <v>1</v>
      </c>
      <c r="D29" s="1" t="s">
        <v>16</v>
      </c>
      <c r="E29" s="2">
        <v>1</v>
      </c>
      <c r="F29" s="1" t="s">
        <v>17</v>
      </c>
      <c r="G29" s="3">
        <v>5000000</v>
      </c>
      <c r="H29" s="3">
        <f>C29*E29*G29</f>
      </c>
    </row>
    <row r="30" spans="1:8" x14ac:dyDescent="0.25">
      <c r="A30" s="1" t="s">
        <v>71</v>
      </c>
      <c r="B30" s="1" t="s">
        <v>72</v>
      </c>
      <c r="C30" s="2">
        <v>1</v>
      </c>
      <c r="D30" s="1" t="s">
        <v>33</v>
      </c>
      <c r="E30" s="2">
        <v>1</v>
      </c>
      <c r="F30" s="1" t="s">
        <v>34</v>
      </c>
      <c r="G30" s="3">
        <v>10000000</v>
      </c>
      <c r="H30" s="3">
        <f>C30*E30*G30</f>
      </c>
    </row>
    <row r="31" spans="1:8" x14ac:dyDescent="0.25">
      <c r="A31" s="1" t="s">
        <v>27</v>
      </c>
      <c r="B31" s="1" t="s">
        <v>73</v>
      </c>
      <c r="C31" s="2"/>
      <c r="D31" s="1"/>
      <c r="E31" s="2"/>
      <c r="F31" s="1"/>
      <c r="G31" s="3"/>
      <c r="H31" s="3">
        <f>SUM(H29:H30)</f>
      </c>
    </row>
    <row r="32" spans="1:8" x14ac:dyDescent="0.25">
      <c r="A32" s="1" t="s">
        <v>27</v>
      </c>
      <c r="B32" s="1" t="s">
        <v>74</v>
      </c>
      <c r="C32" s="2"/>
      <c r="D32" s="1"/>
      <c r="E32" s="2"/>
      <c r="F32" s="1"/>
      <c r="G32" s="3"/>
      <c r="H32" s="3">
        <f>H9+H27+H31</f>
      </c>
    </row>
    <row r="33" spans="1:8" x14ac:dyDescent="0.25">
      <c r="A33" s="1" t="s">
        <v>27</v>
      </c>
      <c r="B33" s="1" t="s">
        <v>75</v>
      </c>
      <c r="C33" s="2"/>
      <c r="D33" s="1"/>
      <c r="E33" s="2"/>
      <c r="F33" s="1"/>
      <c r="G33" s="3"/>
      <c r="H33" s="3">
        <f>H32*0.1</f>
      </c>
    </row>
    <row r="34" spans="1:8" x14ac:dyDescent="0.25">
      <c r="A34" s="1" t="s">
        <v>27</v>
      </c>
      <c r="B34" s="1" t="s">
        <v>76</v>
      </c>
      <c r="C34" s="2"/>
      <c r="D34" s="1"/>
      <c r="E34" s="2"/>
      <c r="F34" s="1"/>
      <c r="G34" s="3"/>
      <c r="H34" s="3">
        <f>H32+H33</f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12" style="2" customWidth="1"/>
    <col min="3" max="4" width="20" style="3" customWidth="1"/>
  </cols>
  <sheetData>
    <row r="1" spans="1:4" s="4" customFormat="1" x14ac:dyDescent="0.25">
      <c r="A1" s="5" t="s">
        <v>77</v>
      </c>
      <c r="B1" s="6" t="s">
        <v>2</v>
      </c>
      <c r="C1" s="7" t="s">
        <v>78</v>
      </c>
      <c r="D1" s="7" t="s">
        <v>7</v>
      </c>
    </row>
    <row r="2" spans="1:4" x14ac:dyDescent="0.25">
      <c r="A2" s="1" t="s">
        <v>79</v>
      </c>
      <c r="B2" s="2">
        <v>8000</v>
      </c>
      <c r="C2" s="3">
        <v>150000</v>
      </c>
      <c r="D2" s="3">
        <f>B2*C2</f>
      </c>
    </row>
    <row r="3" spans="1:4" x14ac:dyDescent="0.25">
      <c r="A3" s="1" t="s">
        <v>80</v>
      </c>
      <c r="B3" s="2">
        <v>2000</v>
      </c>
      <c r="C3" s="3">
        <v>250000</v>
      </c>
      <c r="D3" s="3">
        <f>B3*C3</f>
      </c>
    </row>
    <row r="4" spans="1:4" x14ac:dyDescent="0.25">
      <c r="A4" s="1" t="s">
        <v>81</v>
      </c>
      <c r="B4" s="2">
        <f>B2+B3</f>
      </c>
      <c r="C4" s="3"/>
      <c r="D4" s="3">
        <f>SUM(D2:D3)</f>
      </c>
    </row>
    <row r="5" spans="1:4" x14ac:dyDescent="0.25">
      <c r="A5" s="1" t="s">
        <v>82</v>
      </c>
      <c r="B5" s="2"/>
      <c r="C5" s="3"/>
      <c r="D5" s="3">
        <f>'RAB Konser'!H34</f>
      </c>
    </row>
    <row r="6" spans="1:4" x14ac:dyDescent="0.25">
      <c r="A6" s="1" t="s">
        <v>83</v>
      </c>
      <c r="B6" s="2"/>
      <c r="C6" s="3"/>
      <c r="D6" s="3">
        <f>D4-D5</f>
      </c>
    </row>
    <row r="7" spans="1:4" x14ac:dyDescent="0.25">
      <c r="A7" s="1" t="s">
        <v>84</v>
      </c>
      <c r="B7" s="2"/>
      <c r="C7" s="3">
        <f>D4/B4</f>
      </c>
      <c r="D7" s="3"/>
    </row>
    <row r="8" spans="1:4" x14ac:dyDescent="0.25">
      <c r="A8" s="1" t="s">
        <v>85</v>
      </c>
      <c r="B8" s="2">
        <f>ROUNDUP(D5/C7,0)</f>
      </c>
      <c r="C8" s="3"/>
      <c r="D8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style="1" customWidth="1"/>
  </cols>
  <sheetData>
    <row r="1" spans="1:1" s="4" customFormat="1" x14ac:dyDescent="0.25">
      <c r="A1" s="5" t="s">
        <v>86</v>
      </c>
    </row>
    <row r="2" spans="1:1" x14ac:dyDescent="0.25">
      <c r="A2" s="1" t="s">
        <v>87</v>
      </c>
    </row>
    <row r="3" spans="1:1" x14ac:dyDescent="0.25">
      <c r="A3" s="1" t="s">
        <v>88</v>
      </c>
    </row>
    <row r="4" spans="1:1" x14ac:dyDescent="0.25">
      <c r="A4" s="1" t="s">
        <v>89</v>
      </c>
    </row>
    <row r="5" spans="1:1" x14ac:dyDescent="0.25">
      <c r="A5" s="1" t="s">
        <v>90</v>
      </c>
    </row>
    <row r="6" spans="1:1" x14ac:dyDescent="0.25">
      <c r="A6" s="1" t="s">
        <v>91</v>
      </c>
    </row>
    <row r="7" spans="1:1" x14ac:dyDescent="0.25">
      <c r="A7" s="1" t="s">
        <v>92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RAB Konser</vt:lpstr>
      <vt:lpstr>Pendapatan</vt:lpstr>
      <vt:lpstr>Catatan &amp; Sumber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2026-10-12T02:49:32Z</dcterms:created>
  <dcterms:modified xsi:type="dcterms:W3CDTF">2026-10-12T02:49:32Z</dcterms:modified>
</cp:coreProperties>
</file>