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B Konser" state="visible" r:id="rId4"/>
    <sheet sheetId="2" name="Break Even" state="visible" r:id="rId5"/>
    <sheet sheetId="3" name="Catatan &amp; Sumber" state="visible" r:id="rId6"/>
  </sheets>
  <calcPr calcId="171027"/>
</workbook>
</file>

<file path=xl/sharedStrings.xml><?xml version="1.0" encoding="utf-8"?>
<sst xmlns="http://schemas.openxmlformats.org/spreadsheetml/2006/main" count="81" uniqueCount="66">
  <si>
    <t>No</t>
  </si>
  <si>
    <t>Komponen</t>
  </si>
  <si>
    <t>Item</t>
  </si>
  <si>
    <t>Biaya (Rp)</t>
  </si>
  <si>
    <t>A</t>
  </si>
  <si>
    <t>Talent</t>
  </si>
  <si>
    <t/>
  </si>
  <si>
    <t>A1</t>
  </si>
  <si>
    <t>Fee artis (placeholder)</t>
  </si>
  <si>
    <t>Tulus 300jt, Nadin Amizah 250jt, Bernadya 200jt</t>
  </si>
  <si>
    <t>A2</t>
  </si>
  <si>
    <t>Rider &amp; hospitality</t>
  </si>
  <si>
    <t>Makan, minuman, ruang ganti, 3 artis</t>
  </si>
  <si>
    <t>B</t>
  </si>
  <si>
    <t>Produksi</t>
  </si>
  <si>
    <t>B1</t>
  </si>
  <si>
    <t>Sound system &amp; lighting</t>
  </si>
  <si>
    <t>B2</t>
  </si>
  <si>
    <t>Panggung &amp; rigging</t>
  </si>
  <si>
    <t>B3</t>
  </si>
  <si>
    <t>LED screen</t>
  </si>
  <si>
    <t>B4</t>
  </si>
  <si>
    <t>Backline</t>
  </si>
  <si>
    <t>Drum, keyboard, amp</t>
  </si>
  <si>
    <t>C</t>
  </si>
  <si>
    <t>Venue</t>
  </si>
  <si>
    <t>C1</t>
  </si>
  <si>
    <t>Sewa gedung 1 hari</t>
  </si>
  <si>
    <t>D</t>
  </si>
  <si>
    <t>Perizinan &amp; keamanan</t>
  </si>
  <si>
    <t>D1</t>
  </si>
  <si>
    <t>Izin keramaian &amp; acara</t>
  </si>
  <si>
    <t>D2</t>
  </si>
  <si>
    <t>Keamanan</t>
  </si>
  <si>
    <t>±20 personel</t>
  </si>
  <si>
    <t>E</t>
  </si>
  <si>
    <t>Operasional</t>
  </si>
  <si>
    <t>E1</t>
  </si>
  <si>
    <t>Transport &amp; akomodasi</t>
  </si>
  <si>
    <t>Artis + crew</t>
  </si>
  <si>
    <t>E2</t>
  </si>
  <si>
    <t>Konsumsi crew</t>
  </si>
  <si>
    <t>±100 orang</t>
  </si>
  <si>
    <t>E3</t>
  </si>
  <si>
    <t>Dokumentasi foto &amp; video</t>
  </si>
  <si>
    <t>E4</t>
  </si>
  <si>
    <t>Promosi &amp; platform tiket</t>
  </si>
  <si>
    <t>Subtotal</t>
  </si>
  <si>
    <t>F</t>
  </si>
  <si>
    <t>Kontingensi 10%</t>
  </si>
  <si>
    <t>10% dari subtotal</t>
  </si>
  <si>
    <t>TOTAL RAB</t>
  </si>
  <si>
    <t>Parameter</t>
  </si>
  <si>
    <t>Nilai</t>
  </si>
  <si>
    <t>Keterangan</t>
  </si>
  <si>
    <t>Total RAB (Rp)</t>
  </si>
  <si>
    <t>Dari sheet RAB Konser</t>
  </si>
  <si>
    <t>Kapasitas (tiket)</t>
  </si>
  <si>
    <t>Asumsi penonton</t>
  </si>
  <si>
    <t>Break-even per tiket (Rp)</t>
  </si>
  <si>
    <t>Harga tiket di bawah ini rugi, sebelum pajak hiburan &amp; biaya payment gateway</t>
  </si>
  <si>
    <t>Catatan</t>
  </si>
  <si>
    <t>Semua nominal fee &amp; biaya = placeholder, bukan tarif resmi. Ganti sesuai nego.</t>
  </si>
  <si>
    <t>Fee artis termasuk jasa: PPh 23 2% jika ada NPWP; 4% jika tanpa NPWP [PMK 141/PMK.03/2015] [tidak diverifikasi]</t>
  </si>
  <si>
    <t>Pajak hiburan atas tiket: tarif &amp; dasar ditentukan Perda daerah [tidak diverifikasi]. Cek Perda venue.</t>
  </si>
  <si>
    <t>Struktur RAB &amp; break-even: [Logika Internal / Modul Kalkulator RAB]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</si>
</sst>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#,##0;[Red]-&quot;Rp&quot; 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164" fontId="1" fillId="2" borderId="0" xfId="0" applyNumberFormat="1" applyFont="1" applyFill="1"/>
    <xf numFmtId="3" fontId="0" fillId="0" borderId="0" xfId="0" applyNumberFormat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style="1" customWidth="1"/>
    <col min="2" max="2" width="30" style="1" customWidth="1"/>
    <col min="3" max="3" width="50" style="1" customWidth="1"/>
    <col min="4" max="4" width="20" style="2" customWidth="1"/>
  </cols>
  <sheetData>
    <row r="1" spans="1:4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/>
    </row>
    <row r="3" spans="1:4" x14ac:dyDescent="0.25">
      <c r="A3" s="1" t="s">
        <v>7</v>
      </c>
      <c r="B3" s="1" t="s">
        <v>8</v>
      </c>
      <c r="C3" s="1" t="s">
        <v>9</v>
      </c>
      <c r="D3" s="2">
        <v>750000000</v>
      </c>
    </row>
    <row r="4" spans="1:4" x14ac:dyDescent="0.25">
      <c r="A4" s="1" t="s">
        <v>10</v>
      </c>
      <c r="B4" s="1" t="s">
        <v>11</v>
      </c>
      <c r="C4" s="1" t="s">
        <v>12</v>
      </c>
      <c r="D4" s="2">
        <v>30000000</v>
      </c>
    </row>
    <row r="5" spans="1:4" x14ac:dyDescent="0.25">
      <c r="A5" s="1" t="s">
        <v>13</v>
      </c>
      <c r="B5" s="1" t="s">
        <v>14</v>
      </c>
      <c r="C5" s="1" t="s">
        <v>6</v>
      </c>
      <c r="D5" s="2"/>
    </row>
    <row r="6" spans="1:4" x14ac:dyDescent="0.25">
      <c r="A6" s="1" t="s">
        <v>15</v>
      </c>
      <c r="B6" s="1" t="s">
        <v>16</v>
      </c>
      <c r="C6" s="1" t="s">
        <v>6</v>
      </c>
      <c r="D6" s="2">
        <v>60000000</v>
      </c>
    </row>
    <row r="7" spans="1:4" x14ac:dyDescent="0.25">
      <c r="A7" s="1" t="s">
        <v>17</v>
      </c>
      <c r="B7" s="1" t="s">
        <v>18</v>
      </c>
      <c r="C7" s="1" t="s">
        <v>6</v>
      </c>
      <c r="D7" s="2">
        <v>50000000</v>
      </c>
    </row>
    <row r="8" spans="1:4" x14ac:dyDescent="0.25">
      <c r="A8" s="1" t="s">
        <v>19</v>
      </c>
      <c r="B8" s="1" t="s">
        <v>20</v>
      </c>
      <c r="C8" s="1" t="s">
        <v>6</v>
      </c>
      <c r="D8" s="2">
        <v>40000000</v>
      </c>
    </row>
    <row r="9" spans="1:4" x14ac:dyDescent="0.25">
      <c r="A9" s="1" t="s">
        <v>21</v>
      </c>
      <c r="B9" s="1" t="s">
        <v>22</v>
      </c>
      <c r="C9" s="1" t="s">
        <v>23</v>
      </c>
      <c r="D9" s="2">
        <v>25000000</v>
      </c>
    </row>
    <row r="10" spans="1:4" x14ac:dyDescent="0.25">
      <c r="A10" s="1" t="s">
        <v>24</v>
      </c>
      <c r="B10" s="1" t="s">
        <v>25</v>
      </c>
      <c r="C10" s="1" t="s">
        <v>6</v>
      </c>
      <c r="D10" s="2"/>
    </row>
    <row r="11" spans="1:4" x14ac:dyDescent="0.25">
      <c r="A11" s="1" t="s">
        <v>26</v>
      </c>
      <c r="B11" s="1" t="s">
        <v>27</v>
      </c>
      <c r="C11" s="1" t="s">
        <v>6</v>
      </c>
      <c r="D11" s="2">
        <v>75000000</v>
      </c>
    </row>
    <row r="12" spans="1:4" x14ac:dyDescent="0.25">
      <c r="A12" s="1" t="s">
        <v>28</v>
      </c>
      <c r="B12" s="1" t="s">
        <v>29</v>
      </c>
      <c r="C12" s="1" t="s">
        <v>6</v>
      </c>
      <c r="D12" s="2"/>
    </row>
    <row r="13" spans="1:4" x14ac:dyDescent="0.25">
      <c r="A13" s="1" t="s">
        <v>30</v>
      </c>
      <c r="B13" s="1" t="s">
        <v>31</v>
      </c>
      <c r="C13" s="1" t="s">
        <v>6</v>
      </c>
      <c r="D13" s="2">
        <v>5000000</v>
      </c>
    </row>
    <row r="14" spans="1:4" x14ac:dyDescent="0.25">
      <c r="A14" s="1" t="s">
        <v>32</v>
      </c>
      <c r="B14" s="1" t="s">
        <v>33</v>
      </c>
      <c r="C14" s="1" t="s">
        <v>34</v>
      </c>
      <c r="D14" s="2">
        <v>10000000</v>
      </c>
    </row>
    <row r="15" spans="1:4" x14ac:dyDescent="0.25">
      <c r="A15" s="1" t="s">
        <v>35</v>
      </c>
      <c r="B15" s="1" t="s">
        <v>36</v>
      </c>
      <c r="C15" s="1" t="s">
        <v>6</v>
      </c>
      <c r="D15" s="2"/>
    </row>
    <row r="16" spans="1:4" x14ac:dyDescent="0.25">
      <c r="A16" s="1" t="s">
        <v>37</v>
      </c>
      <c r="B16" s="1" t="s">
        <v>38</v>
      </c>
      <c r="C16" s="1" t="s">
        <v>39</v>
      </c>
      <c r="D16" s="2">
        <v>40000000</v>
      </c>
    </row>
    <row r="17" spans="1:4" x14ac:dyDescent="0.25">
      <c r="A17" s="1" t="s">
        <v>40</v>
      </c>
      <c r="B17" s="1" t="s">
        <v>41</v>
      </c>
      <c r="C17" s="1" t="s">
        <v>42</v>
      </c>
      <c r="D17" s="2">
        <v>15000000</v>
      </c>
    </row>
    <row r="18" spans="1:4" x14ac:dyDescent="0.25">
      <c r="A18" s="1" t="s">
        <v>43</v>
      </c>
      <c r="B18" s="1" t="s">
        <v>44</v>
      </c>
      <c r="C18" s="1" t="s">
        <v>6</v>
      </c>
      <c r="D18" s="2">
        <v>15000000</v>
      </c>
    </row>
    <row r="19" spans="1:4" x14ac:dyDescent="0.25">
      <c r="A19" s="1" t="s">
        <v>45</v>
      </c>
      <c r="B19" s="1" t="s">
        <v>46</v>
      </c>
      <c r="C19" s="1" t="s">
        <v>6</v>
      </c>
      <c r="D19" s="2">
        <v>25000000</v>
      </c>
    </row>
    <row r="20" spans="1:4" x14ac:dyDescent="0.25">
      <c r="A20" s="1" t="s">
        <v>6</v>
      </c>
      <c r="B20" s="1" t="s">
        <v>47</v>
      </c>
      <c r="C20" s="1" t="s">
        <v>6</v>
      </c>
      <c r="D20" s="2">
        <f>SUM(D2:D19)</f>
      </c>
    </row>
    <row r="21" spans="1:4" x14ac:dyDescent="0.25">
      <c r="A21" s="1" t="s">
        <v>48</v>
      </c>
      <c r="B21" s="1" t="s">
        <v>49</v>
      </c>
      <c r="C21" s="1" t="s">
        <v>50</v>
      </c>
      <c r="D21" s="2">
        <f>D20*0.1</f>
      </c>
    </row>
    <row r="22" spans="1:4" x14ac:dyDescent="0.25">
      <c r="A22" s="1" t="s">
        <v>6</v>
      </c>
      <c r="B22" s="1" t="s">
        <v>51</v>
      </c>
      <c r="C22" s="1" t="s">
        <v>6</v>
      </c>
      <c r="D22" s="2">
        <f>D20+D21</f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22" style="6" customWidth="1"/>
    <col min="3" max="3" width="50" style="1" customWidth="1"/>
  </cols>
  <sheetData>
    <row r="1" spans="1:3" s="3" customFormat="1" x14ac:dyDescent="0.25">
      <c r="A1" s="4" t="s">
        <v>52</v>
      </c>
      <c r="B1" s="7" t="s">
        <v>53</v>
      </c>
      <c r="C1" s="4" t="s">
        <v>54</v>
      </c>
    </row>
    <row r="2" spans="1:3" x14ac:dyDescent="0.25">
      <c r="A2" s="1" t="s">
        <v>55</v>
      </c>
      <c r="B2" s="6">
        <f>'RAB Konser'!D22</f>
      </c>
      <c r="C2" s="1" t="s">
        <v>56</v>
      </c>
    </row>
    <row r="3" spans="1:3" x14ac:dyDescent="0.25">
      <c r="A3" s="1" t="s">
        <v>57</v>
      </c>
      <c r="B3" s="6">
        <v>1000</v>
      </c>
      <c r="C3" s="1" t="s">
        <v>58</v>
      </c>
    </row>
    <row r="4" spans="1:3" x14ac:dyDescent="0.25">
      <c r="A4" s="1" t="s">
        <v>59</v>
      </c>
      <c r="B4" s="6">
        <f>B2/B3</f>
      </c>
      <c r="C4" s="1" t="s">
        <v>60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0" style="1" customWidth="1"/>
  </cols>
  <sheetData>
    <row r="1" spans="1:1" s="3" customFormat="1" x14ac:dyDescent="0.25">
      <c r="A1" s="4" t="s">
        <v>61</v>
      </c>
    </row>
    <row r="2" spans="1:1" x14ac:dyDescent="0.25">
      <c r="A2" s="1" t="s">
        <v>62</v>
      </c>
    </row>
    <row r="3" spans="1:1" x14ac:dyDescent="0.25">
      <c r="A3" s="1" t="s">
        <v>63</v>
      </c>
    </row>
    <row r="4" spans="1:1" x14ac:dyDescent="0.25">
      <c r="A4" s="1" t="s">
        <v>64</v>
      </c>
    </row>
    <row r="5" spans="1:1" x14ac:dyDescent="0.25">
      <c r="A5" s="1" t="s">
        <v>65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RAB Konser</vt:lpstr>
      <vt:lpstr>Break Even</vt:lpstr>
      <vt:lpstr>Catatan &amp; Sumber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2026-10-12T02:44:14Z</dcterms:created>
  <dcterms:modified xsi:type="dcterms:W3CDTF">2026-10-12T02:44:14Z</dcterms:modified>
</cp:coreProperties>
</file>